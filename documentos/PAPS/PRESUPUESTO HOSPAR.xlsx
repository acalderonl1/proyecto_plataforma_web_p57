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\Downloads\"/>
    </mc:Choice>
  </mc:AlternateContent>
  <xr:revisionPtr revIDLastSave="0" documentId="13_ncr:1_{0B44B82E-7FED-4977-970F-1090D7D690B0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Presupuesto" sheetId="1" r:id="rId1"/>
    <sheet name="Gastos mensuales" sheetId="2" r:id="rId2"/>
    <sheet name="Gastos personales" sheetId="3" r:id="rId3"/>
    <sheet name="Sheet4" sheetId="4" r:id="rId4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7" i="1" l="1"/>
  <c r="B7" i="1"/>
  <c r="G10" i="4"/>
  <c r="K21" i="2"/>
  <c r="L21" i="2"/>
  <c r="M21" i="2"/>
  <c r="M11" i="1" s="1"/>
  <c r="K11" i="1"/>
  <c r="L11" i="1"/>
  <c r="J13" i="1"/>
  <c r="K13" i="1"/>
  <c r="L13" i="1"/>
  <c r="M13" i="1"/>
  <c r="K7" i="1"/>
  <c r="I7" i="1"/>
  <c r="G7" i="1"/>
  <c r="E7" i="1"/>
  <c r="C7" i="1"/>
  <c r="K10" i="3"/>
  <c r="K12" i="1" s="1"/>
  <c r="L10" i="3"/>
  <c r="L12" i="1" s="1"/>
  <c r="M10" i="3"/>
  <c r="M12" i="1" s="1"/>
  <c r="B13" i="1"/>
  <c r="G9" i="4"/>
  <c r="G8" i="4"/>
  <c r="I7" i="4" s="1"/>
  <c r="J10" i="3"/>
  <c r="J12" i="1" s="1"/>
  <c r="I10" i="3"/>
  <c r="I12" i="1" s="1"/>
  <c r="H10" i="3"/>
  <c r="H12" i="1" s="1"/>
  <c r="G10" i="3"/>
  <c r="G12" i="1" s="1"/>
  <c r="F10" i="3"/>
  <c r="F12" i="1" s="1"/>
  <c r="E10" i="3"/>
  <c r="E12" i="1" s="1"/>
  <c r="D10" i="3"/>
  <c r="D12" i="1" s="1"/>
  <c r="C10" i="3"/>
  <c r="C12" i="1" s="1"/>
  <c r="B10" i="3"/>
  <c r="B12" i="1" s="1"/>
  <c r="J21" i="2"/>
  <c r="J11" i="1" s="1"/>
  <c r="I21" i="2"/>
  <c r="I11" i="1" s="1"/>
  <c r="H21" i="2"/>
  <c r="H11" i="1" s="1"/>
  <c r="G21" i="2"/>
  <c r="G11" i="1" s="1"/>
  <c r="F21" i="2"/>
  <c r="F11" i="1" s="1"/>
  <c r="E21" i="2"/>
  <c r="E11" i="1" s="1"/>
  <c r="D21" i="2"/>
  <c r="D11" i="1" s="1"/>
  <c r="C21" i="2"/>
  <c r="C11" i="1" s="1"/>
  <c r="B21" i="2"/>
  <c r="B11" i="1" s="1"/>
  <c r="I13" i="1"/>
  <c r="H13" i="1"/>
  <c r="G13" i="1"/>
  <c r="F13" i="1"/>
  <c r="E13" i="1"/>
  <c r="D13" i="1"/>
  <c r="C13" i="1"/>
  <c r="L14" i="1" l="1"/>
  <c r="L16" i="1" s="1"/>
  <c r="K14" i="1"/>
  <c r="K16" i="1" s="1"/>
  <c r="J14" i="1"/>
  <c r="J16" i="1" s="1"/>
  <c r="M14" i="1"/>
  <c r="M16" i="1" s="1"/>
  <c r="I14" i="1"/>
  <c r="I16" i="1" s="1"/>
  <c r="G14" i="1"/>
  <c r="G16" i="1" s="1"/>
  <c r="C14" i="1"/>
  <c r="C16" i="1" s="1"/>
  <c r="E14" i="1"/>
  <c r="E16" i="1" s="1"/>
  <c r="D14" i="1"/>
  <c r="D16" i="1" s="1"/>
  <c r="H14" i="1"/>
  <c r="H16" i="1" s="1"/>
  <c r="B14" i="1"/>
  <c r="B16" i="1" s="1"/>
  <c r="B17" i="1" s="1"/>
  <c r="F14" i="1"/>
  <c r="F16" i="1" s="1"/>
  <c r="C17" i="1" l="1"/>
  <c r="D17" i="1" l="1"/>
  <c r="E17" i="1" s="1"/>
  <c r="F17" i="1" s="1"/>
  <c r="G17" i="1" s="1"/>
  <c r="H17" i="1" s="1"/>
  <c r="I17" i="1" s="1"/>
  <c r="M17" i="1" l="1"/>
  <c r="J17" i="1"/>
  <c r="K17" i="1" s="1"/>
  <c r="L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</author>
  </authors>
  <commentList>
    <comment ref="M20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 xml:space="preserve">Guillermo Pizarro:
</t>
        </r>
        <r>
          <rPr>
            <sz val="8"/>
            <color rgb="FF000000"/>
            <rFont val="Tahoma"/>
            <family val="2"/>
            <charset val="1"/>
          </rPr>
          <t>Valor total del Proyecto</t>
        </r>
      </text>
    </comment>
  </commentList>
</comments>
</file>

<file path=xl/sharedStrings.xml><?xml version="1.0" encoding="utf-8"?>
<sst xmlns="http://schemas.openxmlformats.org/spreadsheetml/2006/main" count="94" uniqueCount="67">
  <si>
    <t>Nombre del Proyecto:</t>
  </si>
  <si>
    <t>Fecha de iniciación:</t>
  </si>
  <si>
    <t>Fecha de finalización: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</si>
  <si>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</si>
  <si>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</si>
  <si>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</si>
  <si>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</si>
  <si>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</si>
  <si>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</si>
  <si>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</si>
  <si>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</si>
  <si>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</si>
  <si>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Ingresos</t>
  </si>
  <si>
    <t>Ingresos por avances</t>
  </si>
  <si>
    <t>Total ingresos</t>
  </si>
  <si>
    <t>Egresos</t>
  </si>
  <si>
    <t>Gastos mensuales</t>
  </si>
  <si>
    <t>Gastos personales</t>
  </si>
  <si>
    <t>Gastos por sueldos</t>
  </si>
  <si>
    <t>Total egresos</t>
  </si>
  <si>
    <t>Saldo Final en Caja</t>
  </si>
  <si>
    <t>Flujo acumulado</t>
  </si>
  <si>
    <t>Valor del Proyecto:</t>
  </si>
  <si>
    <t>No. de personas:</t>
  </si>
  <si>
    <t>Sueldo:</t>
  </si>
  <si>
    <t>Suministros de oficinas</t>
  </si>
  <si>
    <t>CDs</t>
  </si>
  <si>
    <t>Hojas</t>
  </si>
  <si>
    <t>Tinta</t>
  </si>
  <si>
    <t>Carpetas</t>
  </si>
  <si>
    <t>Bolígrafos</t>
  </si>
  <si>
    <t>Lapicero</t>
  </si>
  <si>
    <t>Minas</t>
  </si>
  <si>
    <t>Borrador</t>
  </si>
  <si>
    <t>Hardware</t>
  </si>
  <si>
    <t>Servicios Básicos</t>
  </si>
  <si>
    <t>Agua</t>
  </si>
  <si>
    <t>Teléfono</t>
  </si>
  <si>
    <t>Energía Eléctrica</t>
  </si>
  <si>
    <t>Total</t>
  </si>
  <si>
    <t>Transporte</t>
  </si>
  <si>
    <t>Taxi</t>
  </si>
  <si>
    <t>Alimentación</t>
  </si>
  <si>
    <t>Almuerzo</t>
  </si>
  <si>
    <t>Merienda</t>
  </si>
  <si>
    <t>Otros</t>
  </si>
  <si>
    <t>Comunicación</t>
  </si>
  <si>
    <t>Internet</t>
  </si>
  <si>
    <t>Celular</t>
  </si>
  <si>
    <t>Valor que quiero recibir</t>
  </si>
  <si>
    <t>UD VA A RECIBIR ESTO</t>
  </si>
  <si>
    <t>Valor Base:</t>
  </si>
  <si>
    <t>Impuesto a la Renta</t>
  </si>
  <si>
    <t>Retener</t>
  </si>
  <si>
    <t>Valor Base</t>
  </si>
  <si>
    <t>IVA:</t>
  </si>
  <si>
    <t>Impuesto al IVA</t>
  </si>
  <si>
    <t>Subtotal</t>
  </si>
  <si>
    <t>Valor Final:</t>
  </si>
  <si>
    <t>HOPARK</t>
  </si>
  <si>
    <t>Octubre</t>
  </si>
  <si>
    <t>Noviembre</t>
  </si>
  <si>
    <t>Diciembre</t>
  </si>
  <si>
    <t>Laptop</t>
  </si>
  <si>
    <t>Memoria</t>
  </si>
  <si>
    <t>Servidor</t>
  </si>
  <si>
    <t>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</si>
</sst>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 &quot;* #,##0.00_);_(&quot;$ &quot;* \(#,##0.00\);_(&quot;$ &quot;* \-??_);_(@_)"/>
    <numFmt numFmtId="165" formatCode="[$$-409]#,##0.00;\-[$$-409]#,##0.00"/>
    <numFmt numFmtId="166" formatCode="[$$-409]#,##0.00;[Red]\-[$$-409]#,##0.00"/>
  </numFmts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color rgb="FF000000"/>
      <name val="Tahoma"/>
      <family val="2"/>
      <charset val="1"/>
    </font>
    <font>
      <b/>
      <sz val="11"/>
      <color rgb="FFC9211E"/>
      <name val="Calibri"/>
      <family val="2"/>
      <charset val="1"/>
    </font>
    <font>
      <sz val="8"/>
      <name val="Calibri"/>
      <family val="2"/>
      <charset val="1"/>
    </font>
    <font>
      <sz val="2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Border="1" applyAlignment="1">
      <alignment horizontal="right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right"/>
    </xf>
    <xf numFmtId="164" fontId="0" fillId="0" borderId="0" xfId="0" applyNumberFormat="1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Font="1" applyBorder="1" applyAlignment="1">
      <alignment horizontal="left" indent="4"/>
    </xf>
    <xf numFmtId="164" fontId="0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164" fontId="0" fillId="0" borderId="8" xfId="0" applyNumberFormat="1" applyFont="1" applyBorder="1"/>
    <xf numFmtId="0" fontId="1" fillId="0" borderId="9" xfId="0" applyFont="1" applyBorder="1" applyAlignment="1">
      <alignment horizontal="left"/>
    </xf>
    <xf numFmtId="164" fontId="0" fillId="0" borderId="10" xfId="0" applyNumberFormat="1" applyBorder="1" applyAlignment="1">
      <alignment horizontal="center"/>
    </xf>
    <xf numFmtId="164" fontId="0" fillId="0" borderId="10" xfId="0" applyNumberFormat="1" applyFont="1" applyBorder="1"/>
    <xf numFmtId="164" fontId="0" fillId="0" borderId="11" xfId="0" applyNumberFormat="1" applyFont="1" applyBorder="1"/>
    <xf numFmtId="0" fontId="1" fillId="0" borderId="7" xfId="0" applyFont="1" applyBorder="1" applyAlignment="1">
      <alignment horizontal="left"/>
    </xf>
    <xf numFmtId="0" fontId="1" fillId="0" borderId="12" xfId="0" applyFont="1" applyBorder="1"/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4" fontId="0" fillId="0" borderId="8" xfId="0" applyNumberFormat="1" applyFont="1" applyBorder="1" applyAlignment="1">
      <alignment horizontal="center"/>
    </xf>
    <xf numFmtId="0" fontId="0" fillId="0" borderId="0" xfId="0" applyFont="1"/>
    <xf numFmtId="0" fontId="1" fillId="0" borderId="9" xfId="0" applyFont="1" applyBorder="1"/>
    <xf numFmtId="164" fontId="0" fillId="0" borderId="11" xfId="0" applyNumberFormat="1" applyBorder="1" applyAlignment="1">
      <alignment horizontal="center"/>
    </xf>
    <xf numFmtId="0" fontId="1" fillId="0" borderId="7" xfId="0" applyFont="1" applyBorder="1"/>
    <xf numFmtId="164" fontId="0" fillId="0" borderId="8" xfId="0" applyNumberFormat="1" applyBorder="1" applyAlignment="1">
      <alignment horizontal="center"/>
    </xf>
    <xf numFmtId="0" fontId="1" fillId="0" borderId="15" xfId="0" applyFont="1" applyBorder="1"/>
    <xf numFmtId="164" fontId="0" fillId="0" borderId="16" xfId="0" applyNumberForma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1" fillId="0" borderId="13" xfId="0" applyFont="1" applyBorder="1"/>
    <xf numFmtId="0" fontId="0" fillId="0" borderId="13" xfId="0" applyBorder="1" applyAlignment="1">
      <alignment horizontal="center"/>
    </xf>
    <xf numFmtId="0" fontId="0" fillId="0" borderId="0" xfId="0" applyFont="1" applyAlignment="1">
      <alignment horizontal="left" indent="4"/>
    </xf>
    <xf numFmtId="164" fontId="0" fillId="0" borderId="0" xfId="0" applyNumberFormat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0" xfId="0" applyFont="1" applyBorder="1" applyAlignment="1">
      <alignment horizontal="left" indent="1"/>
    </xf>
    <xf numFmtId="0" fontId="0" fillId="0" borderId="13" xfId="0" applyBorder="1"/>
    <xf numFmtId="164" fontId="0" fillId="0" borderId="0" xfId="0" applyNumberFormat="1"/>
    <xf numFmtId="164" fontId="0" fillId="0" borderId="13" xfId="0" applyNumberFormat="1" applyBorder="1"/>
    <xf numFmtId="0" fontId="0" fillId="0" borderId="10" xfId="0" applyFont="1" applyBorder="1" applyAlignment="1">
      <alignment horizontal="left" indent="4"/>
    </xf>
    <xf numFmtId="164" fontId="0" fillId="0" borderId="10" xfId="0" applyNumberFormat="1" applyBorder="1"/>
    <xf numFmtId="165" fontId="1" fillId="0" borderId="0" xfId="0" applyNumberFormat="1" applyFont="1"/>
    <xf numFmtId="165" fontId="0" fillId="0" borderId="0" xfId="0" applyNumberFormat="1"/>
    <xf numFmtId="10" fontId="1" fillId="0" borderId="0" xfId="0" applyNumberFormat="1" applyFont="1" applyAlignment="1">
      <alignment horizontal="center"/>
    </xf>
    <xf numFmtId="166" fontId="1" fillId="0" borderId="0" xfId="0" applyNumberFormat="1" applyFont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7" xfId="0" applyFont="1" applyBorder="1" applyAlignment="1"/>
    <xf numFmtId="0" fontId="1" fillId="0" borderId="18" xfId="0" applyFont="1" applyBorder="1"/>
    <xf numFmtId="0" fontId="0" fillId="0" borderId="18" xfId="0" applyFont="1" applyBorder="1" applyAlignment="1">
      <alignment horizontal="left"/>
    </xf>
    <xf numFmtId="0" fontId="1" fillId="0" borderId="18" xfId="0" applyFont="1" applyBorder="1" applyAlignment="1">
      <alignment horizontal="right"/>
    </xf>
    <xf numFmtId="14" fontId="0" fillId="0" borderId="18" xfId="0" applyNumberFormat="1" applyBorder="1" applyAlignment="1">
      <alignment horizontal="center" wrapText="1"/>
    </xf>
    <xf numFmtId="0" fontId="1" fillId="0" borderId="18" xfId="0" applyFont="1" applyBorder="1" applyAlignment="1">
      <alignment horizontal="right"/>
    </xf>
    <xf numFmtId="0" fontId="0" fillId="0" borderId="18" xfId="0" applyBorder="1"/>
    <xf numFmtId="0" fontId="0" fillId="0" borderId="18" xfId="0" applyFont="1" applyBorder="1" applyAlignment="1">
      <alignment horizontal="right"/>
    </xf>
    <xf numFmtId="165" fontId="0" fillId="0" borderId="18" xfId="0" applyNumberFormat="1" applyBorder="1"/>
    <xf numFmtId="165" fontId="1" fillId="0" borderId="18" xfId="0" applyNumberFormat="1" applyFont="1" applyBorder="1"/>
    <xf numFmtId="0" fontId="0" fillId="0" borderId="1" xfId="0" applyBorder="1"/>
    <xf numFmtId="0" fontId="3" fillId="0" borderId="18" xfId="0" applyFont="1" applyBorder="1"/>
    <xf numFmtId="0" fontId="5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90" zoomScaleNormal="90" workbookViewId="0">
      <selection activeCell="I13" sqref="I13"/>
    </sheetView>
  </sheetViews>
  <sheetFormatPr baseColWidth="10" defaultColWidth="11.42578125" defaultRowHeight="15" x14ac:dyDescent="0.25"/>
  <cols>
    <col min="1" max="1" width="22.140625" style="2" customWidth="1"/>
    <col min="2" max="2" width="11.42578125" style="3"/>
    <col min="3" max="9" width="12.7109375" style="3" bestFit="1" customWidth="1"/>
    <col min="10" max="12" width="12.7109375" style="3" customWidth="1"/>
    <col min="13" max="13" width="15.42578125" style="3" bestFit="1" customWidth="1"/>
    <col min="14" max="14" width="11.42578125" style="3"/>
  </cols>
  <sheetData>
    <row r="1" spans="1:14" ht="15.75" thickBot="1" x14ac:dyDescent="0.3">
      <c r="A1" s="56" t="s">
        <v>0</v>
      </c>
      <c r="B1" s="57" t="s">
        <v>59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4" ht="15.75" thickBot="1" x14ac:dyDescent="0.3">
      <c r="A2" s="58" t="s">
        <v>1</v>
      </c>
      <c r="B2" s="59">
        <v>44200</v>
      </c>
      <c r="C2" s="59"/>
      <c r="D2" s="59"/>
      <c r="E2" s="60" t="s">
        <v>2</v>
      </c>
      <c r="F2" s="60"/>
      <c r="G2" s="59">
        <v>43845</v>
      </c>
      <c r="H2" s="59"/>
      <c r="I2" s="59"/>
      <c r="J2" s="59"/>
      <c r="K2" s="59"/>
      <c r="L2" s="59"/>
      <c r="M2" s="59"/>
    </row>
    <row r="4" spans="1:14" ht="15.75" thickBot="1" x14ac:dyDescent="0.3">
      <c r="A4" s="4"/>
      <c r="B4" s="6"/>
    </row>
    <row r="5" spans="1:14" s="2" customFormat="1" ht="15.75" thickBot="1" x14ac:dyDescent="0.3">
      <c r="A5" s="7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60</v>
      </c>
      <c r="L5" s="8" t="s">
        <v>61</v>
      </c>
      <c r="M5" s="9" t="s">
        <v>62</v>
      </c>
    </row>
    <row r="6" spans="1:14" x14ac:dyDescent="0.25">
      <c r="A6" s="11" t="s">
        <v>12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53"/>
    </row>
    <row r="7" spans="1:14" x14ac:dyDescent="0.25">
      <c r="A7" s="55" t="s">
        <v>13</v>
      </c>
      <c r="B7" s="15">
        <f>$M$20*0.15</f>
        <v>7500</v>
      </c>
      <c r="C7" s="15">
        <f>$M$20*0.15</f>
        <v>7500</v>
      </c>
      <c r="D7" s="16"/>
      <c r="E7" s="15">
        <f>$M$20*0.15</f>
        <v>7500</v>
      </c>
      <c r="F7" s="16"/>
      <c r="G7" s="15">
        <f>$M$20*0.15</f>
        <v>7500</v>
      </c>
      <c r="H7" s="15"/>
      <c r="I7" s="15">
        <f>$M$20*0.15</f>
        <v>7500</v>
      </c>
      <c r="J7" s="16"/>
      <c r="K7" s="15">
        <f>$M$20*0.15</f>
        <v>7500</v>
      </c>
      <c r="L7" s="16"/>
      <c r="M7" s="17">
        <f>$M$20*0.1</f>
        <v>5000</v>
      </c>
      <c r="N7" s="53"/>
    </row>
    <row r="8" spans="1:14" ht="15.75" thickBot="1" x14ac:dyDescent="0.3">
      <c r="A8" s="18" t="s">
        <v>14</v>
      </c>
      <c r="B8" s="19"/>
      <c r="C8" s="20"/>
      <c r="D8" s="19"/>
      <c r="E8" s="20"/>
      <c r="F8" s="19"/>
      <c r="G8" s="19"/>
      <c r="H8" s="20"/>
      <c r="I8" s="19"/>
      <c r="J8" s="19"/>
      <c r="K8" s="19"/>
      <c r="L8" s="19"/>
      <c r="M8" s="21"/>
      <c r="N8" s="53"/>
    </row>
    <row r="9" spans="1:14" ht="15.75" thickTop="1" x14ac:dyDescent="0.25">
      <c r="A9" s="22"/>
      <c r="B9" s="16"/>
      <c r="C9" s="15"/>
      <c r="D9" s="16"/>
      <c r="E9" s="15"/>
      <c r="F9" s="16"/>
      <c r="G9" s="16"/>
      <c r="H9" s="15"/>
      <c r="I9" s="16"/>
      <c r="J9" s="16"/>
      <c r="K9" s="16"/>
      <c r="L9" s="16"/>
      <c r="M9" s="17"/>
      <c r="N9" s="53"/>
    </row>
    <row r="10" spans="1:14" x14ac:dyDescent="0.25">
      <c r="A10" s="23" t="s">
        <v>15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  <c r="N10" s="53"/>
    </row>
    <row r="11" spans="1:14" s="28" customFormat="1" x14ac:dyDescent="0.25">
      <c r="A11" s="14" t="s">
        <v>16</v>
      </c>
      <c r="B11" s="26">
        <f>'Gastos mensuales'!B21</f>
        <v>2440</v>
      </c>
      <c r="C11" s="26">
        <f>'Gastos mensuales'!C21</f>
        <v>165</v>
      </c>
      <c r="D11" s="26">
        <f>'Gastos mensuales'!D21</f>
        <v>165</v>
      </c>
      <c r="E11" s="26">
        <f>'Gastos mensuales'!E21</f>
        <v>240</v>
      </c>
      <c r="F11" s="26">
        <f>'Gastos mensuales'!F21</f>
        <v>2065</v>
      </c>
      <c r="G11" s="26">
        <f>'Gastos mensuales'!G21</f>
        <v>165</v>
      </c>
      <c r="H11" s="26">
        <f>'Gastos mensuales'!H21</f>
        <v>240</v>
      </c>
      <c r="I11" s="26">
        <f>'Gastos mensuales'!I21</f>
        <v>165</v>
      </c>
      <c r="J11" s="26">
        <f>'Gastos mensuales'!J21</f>
        <v>2065</v>
      </c>
      <c r="K11" s="26">
        <f>'Gastos mensuales'!K21</f>
        <v>240</v>
      </c>
      <c r="L11" s="26">
        <f>'Gastos mensuales'!L21</f>
        <v>165</v>
      </c>
      <c r="M11" s="27">
        <f>'Gastos mensuales'!M21</f>
        <v>165</v>
      </c>
      <c r="N11" s="54"/>
    </row>
    <row r="12" spans="1:14" s="28" customFormat="1" x14ac:dyDescent="0.25">
      <c r="A12" s="14" t="s">
        <v>17</v>
      </c>
      <c r="B12" s="26">
        <f>$M$21*'Gastos personales'!B10</f>
        <v>405</v>
      </c>
      <c r="C12" s="26">
        <f>$M$21*'Gastos personales'!C10</f>
        <v>405</v>
      </c>
      <c r="D12" s="26">
        <f>$M$21*'Gastos personales'!D10</f>
        <v>405</v>
      </c>
      <c r="E12" s="26">
        <f>$M$21*'Gastos personales'!E10</f>
        <v>405</v>
      </c>
      <c r="F12" s="26">
        <f>$M$21*'Gastos personales'!F10</f>
        <v>405</v>
      </c>
      <c r="G12" s="26">
        <f>$M$21*'Gastos personales'!G10</f>
        <v>405</v>
      </c>
      <c r="H12" s="26">
        <f>$M$21*'Gastos personales'!H10</f>
        <v>405</v>
      </c>
      <c r="I12" s="26">
        <f>$M$21*'Gastos personales'!I10</f>
        <v>405</v>
      </c>
      <c r="J12" s="26">
        <f>$M$21*'Gastos personales'!J10</f>
        <v>405</v>
      </c>
      <c r="K12" s="26">
        <f>$M$21*'Gastos personales'!K10</f>
        <v>405</v>
      </c>
      <c r="L12" s="26">
        <f>$M$21*'Gastos personales'!L10</f>
        <v>405</v>
      </c>
      <c r="M12" s="27">
        <f>$M$21*'Gastos personales'!M10</f>
        <v>405</v>
      </c>
      <c r="N12" s="54"/>
    </row>
    <row r="13" spans="1:14" s="28" customFormat="1" x14ac:dyDescent="0.25">
      <c r="A13" s="14" t="s">
        <v>18</v>
      </c>
      <c r="B13" s="26">
        <f>$M$22*$M$21</f>
        <v>2277</v>
      </c>
      <c r="C13" s="26">
        <f>$M$22*$M$21</f>
        <v>2277</v>
      </c>
      <c r="D13" s="26">
        <f>$M$22*$M$21</f>
        <v>2277</v>
      </c>
      <c r="E13" s="26">
        <f>$M$22*$M$21</f>
        <v>2277</v>
      </c>
      <c r="F13" s="26">
        <f>$M$22*$M$21</f>
        <v>2277</v>
      </c>
      <c r="G13" s="26">
        <f>$M$22*$M$21</f>
        <v>2277</v>
      </c>
      <c r="H13" s="26">
        <f>$M$22*$M$21</f>
        <v>2277</v>
      </c>
      <c r="I13" s="26">
        <f>$M$22*$M$21</f>
        <v>2277</v>
      </c>
      <c r="J13" s="26">
        <f t="shared" ref="J13:M13" si="0">$M$22*$M$21</f>
        <v>2277</v>
      </c>
      <c r="K13" s="26">
        <f t="shared" si="0"/>
        <v>2277</v>
      </c>
      <c r="L13" s="26">
        <f t="shared" si="0"/>
        <v>2277</v>
      </c>
      <c r="M13" s="27">
        <f t="shared" si="0"/>
        <v>2277</v>
      </c>
      <c r="N13" s="54"/>
    </row>
    <row r="14" spans="1:14" ht="15.75" thickBot="1" x14ac:dyDescent="0.3">
      <c r="A14" s="29" t="s">
        <v>19</v>
      </c>
      <c r="B14" s="19">
        <f t="shared" ref="B14:M14" si="1">SUM(B11:B13)</f>
        <v>5122</v>
      </c>
      <c r="C14" s="19">
        <f t="shared" si="1"/>
        <v>2847</v>
      </c>
      <c r="D14" s="19">
        <f t="shared" si="1"/>
        <v>2847</v>
      </c>
      <c r="E14" s="19">
        <f t="shared" si="1"/>
        <v>2922</v>
      </c>
      <c r="F14" s="19">
        <f t="shared" si="1"/>
        <v>4747</v>
      </c>
      <c r="G14" s="19">
        <f t="shared" si="1"/>
        <v>2847</v>
      </c>
      <c r="H14" s="19">
        <f t="shared" si="1"/>
        <v>2922</v>
      </c>
      <c r="I14" s="19">
        <f t="shared" si="1"/>
        <v>2847</v>
      </c>
      <c r="J14" s="19">
        <f t="shared" ref="J14" si="2">SUM(J11:J13)</f>
        <v>4747</v>
      </c>
      <c r="K14" s="19">
        <f t="shared" ref="K14" si="3">SUM(K11:K13)</f>
        <v>2922</v>
      </c>
      <c r="L14" s="19">
        <f t="shared" ref="L14" si="4">SUM(L11:L13)</f>
        <v>2847</v>
      </c>
      <c r="M14" s="30">
        <f t="shared" ref="M14" si="5">SUM(M11:M13)</f>
        <v>2847</v>
      </c>
      <c r="N14" s="53"/>
    </row>
    <row r="15" spans="1:14" ht="15.75" thickTop="1" x14ac:dyDescent="0.25">
      <c r="A15" s="31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32"/>
      <c r="N15" s="53"/>
    </row>
    <row r="16" spans="1:14" ht="15.75" thickBot="1" x14ac:dyDescent="0.3">
      <c r="A16" s="29" t="s">
        <v>20</v>
      </c>
      <c r="B16" s="19">
        <f t="shared" ref="B16:M16" si="6">B7-B14</f>
        <v>2378</v>
      </c>
      <c r="C16" s="19">
        <f t="shared" si="6"/>
        <v>4653</v>
      </c>
      <c r="D16" s="19">
        <f>D7-D14</f>
        <v>-2847</v>
      </c>
      <c r="E16" s="19">
        <f t="shared" si="6"/>
        <v>4578</v>
      </c>
      <c r="F16" s="19">
        <f t="shared" si="6"/>
        <v>-4747</v>
      </c>
      <c r="G16" s="19">
        <f t="shared" si="6"/>
        <v>4653</v>
      </c>
      <c r="H16" s="19">
        <f t="shared" si="6"/>
        <v>-2922</v>
      </c>
      <c r="I16" s="19">
        <f t="shared" si="6"/>
        <v>4653</v>
      </c>
      <c r="J16" s="19">
        <f t="shared" ref="J16:L16" si="7">J7-J14</f>
        <v>-4747</v>
      </c>
      <c r="K16" s="19">
        <f t="shared" si="7"/>
        <v>4578</v>
      </c>
      <c r="L16" s="19">
        <f t="shared" si="7"/>
        <v>-2847</v>
      </c>
      <c r="M16" s="30">
        <f t="shared" si="6"/>
        <v>2153</v>
      </c>
      <c r="N16" s="53"/>
    </row>
    <row r="17" spans="1:14" ht="16.5" thickTop="1" thickBot="1" x14ac:dyDescent="0.3">
      <c r="A17" s="33" t="s">
        <v>21</v>
      </c>
      <c r="B17" s="34">
        <f>B16</f>
        <v>2378</v>
      </c>
      <c r="C17" s="34">
        <f t="shared" ref="C17:I17" si="8">C16+B17</f>
        <v>7031</v>
      </c>
      <c r="D17" s="34">
        <f>D16+C17</f>
        <v>4184</v>
      </c>
      <c r="E17" s="34">
        <f t="shared" si="8"/>
        <v>8762</v>
      </c>
      <c r="F17" s="34">
        <f t="shared" si="8"/>
        <v>4015</v>
      </c>
      <c r="G17" s="34">
        <f t="shared" si="8"/>
        <v>8668</v>
      </c>
      <c r="H17" s="34">
        <f t="shared" si="8"/>
        <v>5746</v>
      </c>
      <c r="I17" s="34">
        <f t="shared" si="8"/>
        <v>10399</v>
      </c>
      <c r="J17" s="34">
        <f t="shared" ref="J17" si="9">J16+I17</f>
        <v>5652</v>
      </c>
      <c r="K17" s="34">
        <f t="shared" ref="K17" si="10">K16+J17</f>
        <v>10230</v>
      </c>
      <c r="L17" s="34">
        <f t="shared" ref="L17" si="11">L16+K17</f>
        <v>7383</v>
      </c>
      <c r="M17" s="35">
        <f>M16+I17</f>
        <v>12552</v>
      </c>
      <c r="N17" s="53"/>
    </row>
    <row r="20" spans="1:14" x14ac:dyDescent="0.25">
      <c r="J20" s="5"/>
      <c r="K20" s="1" t="s">
        <v>22</v>
      </c>
      <c r="L20" s="1"/>
      <c r="M20" s="36">
        <v>50000</v>
      </c>
    </row>
    <row r="21" spans="1:14" x14ac:dyDescent="0.25">
      <c r="J21" s="5"/>
      <c r="K21" s="1" t="s">
        <v>23</v>
      </c>
      <c r="L21" s="1"/>
      <c r="M21" s="37">
        <v>3</v>
      </c>
    </row>
    <row r="22" spans="1:14" x14ac:dyDescent="0.25">
      <c r="J22" s="5"/>
      <c r="K22" s="1" t="s">
        <v>24</v>
      </c>
      <c r="L22" s="1"/>
      <c r="M22" s="6">
        <v>759</v>
      </c>
    </row>
  </sheetData>
  <mergeCells count="7">
    <mergeCell ref="K21:L21"/>
    <mergeCell ref="K22:L22"/>
    <mergeCell ref="B1:M1"/>
    <mergeCell ref="B2:D2"/>
    <mergeCell ref="E2:F2"/>
    <mergeCell ref="G2:M2"/>
    <mergeCell ref="K20:L20"/>
  </mergeCells>
  <phoneticPr fontId="4" type="noConversion"/>
  <pageMargins left="0.7" right="0.7" top="0.75" bottom="0.75" header="0.51180555555555496" footer="0.51180555555555496"/>
  <pageSetup firstPageNumber="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zoomScale="90" zoomScaleNormal="90" workbookViewId="0">
      <selection activeCell="K14" sqref="K14"/>
    </sheetView>
  </sheetViews>
  <sheetFormatPr baseColWidth="10" defaultColWidth="11.42578125" defaultRowHeight="15" x14ac:dyDescent="0.25"/>
  <cols>
    <col min="1" max="1" width="21.7109375" customWidth="1"/>
    <col min="2" max="11" width="11.42578125" style="3"/>
  </cols>
  <sheetData>
    <row r="1" spans="1:13" x14ac:dyDescent="0.25"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60</v>
      </c>
      <c r="L1" s="10" t="s">
        <v>61</v>
      </c>
      <c r="M1" s="10" t="s">
        <v>62</v>
      </c>
    </row>
    <row r="2" spans="1:13" x14ac:dyDescent="0.25">
      <c r="A2" s="38" t="s">
        <v>25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25">
      <c r="A3" s="40" t="s">
        <v>26</v>
      </c>
      <c r="B3" s="41">
        <v>10</v>
      </c>
      <c r="C3" s="41"/>
      <c r="D3" s="41"/>
      <c r="E3" s="41">
        <v>10</v>
      </c>
      <c r="F3" s="41"/>
      <c r="G3" s="41"/>
      <c r="H3" s="41">
        <v>10</v>
      </c>
      <c r="I3" s="41"/>
      <c r="J3" s="41"/>
      <c r="K3" s="41">
        <v>10</v>
      </c>
      <c r="L3" s="41"/>
      <c r="M3" s="41"/>
    </row>
    <row r="4" spans="1:13" x14ac:dyDescent="0.25">
      <c r="A4" s="40" t="s">
        <v>27</v>
      </c>
      <c r="B4" s="41">
        <v>25</v>
      </c>
      <c r="C4" s="41">
        <v>25</v>
      </c>
      <c r="D4" s="41">
        <v>25</v>
      </c>
      <c r="E4" s="41">
        <v>25</v>
      </c>
      <c r="F4" s="41">
        <v>25</v>
      </c>
      <c r="G4" s="41">
        <v>25</v>
      </c>
      <c r="H4" s="41">
        <v>25</v>
      </c>
      <c r="I4" s="41">
        <v>25</v>
      </c>
      <c r="J4" s="41">
        <v>25</v>
      </c>
      <c r="K4" s="41">
        <v>25</v>
      </c>
      <c r="L4" s="41">
        <v>25</v>
      </c>
      <c r="M4" s="41">
        <v>25</v>
      </c>
    </row>
    <row r="5" spans="1:13" x14ac:dyDescent="0.25">
      <c r="A5" s="40" t="s">
        <v>28</v>
      </c>
      <c r="B5" s="41">
        <v>35</v>
      </c>
      <c r="C5" s="41">
        <v>35</v>
      </c>
      <c r="D5" s="41">
        <v>35</v>
      </c>
      <c r="E5" s="41">
        <v>35</v>
      </c>
      <c r="F5" s="41">
        <v>35</v>
      </c>
      <c r="G5" s="41">
        <v>35</v>
      </c>
      <c r="H5" s="41">
        <v>35</v>
      </c>
      <c r="I5" s="41">
        <v>35</v>
      </c>
      <c r="J5" s="41">
        <v>35</v>
      </c>
      <c r="K5" s="41">
        <v>35</v>
      </c>
      <c r="L5" s="41">
        <v>35</v>
      </c>
      <c r="M5" s="41">
        <v>35</v>
      </c>
    </row>
    <row r="6" spans="1:13" x14ac:dyDescent="0.25">
      <c r="A6" s="40" t="s">
        <v>29</v>
      </c>
      <c r="B6" s="41">
        <v>20</v>
      </c>
      <c r="C6" s="41"/>
      <c r="D6" s="41"/>
      <c r="E6" s="41">
        <v>20</v>
      </c>
      <c r="F6" s="41"/>
      <c r="G6" s="41"/>
      <c r="H6" s="41">
        <v>20</v>
      </c>
      <c r="I6" s="41"/>
      <c r="J6" s="41"/>
      <c r="K6" s="41">
        <v>20</v>
      </c>
      <c r="L6" s="41"/>
      <c r="M6" s="41"/>
    </row>
    <row r="7" spans="1:13" x14ac:dyDescent="0.25">
      <c r="A7" s="40" t="s">
        <v>30</v>
      </c>
      <c r="B7" s="41">
        <v>15</v>
      </c>
      <c r="C7" s="41"/>
      <c r="D7" s="41"/>
      <c r="E7" s="41">
        <v>15</v>
      </c>
      <c r="F7" s="41"/>
      <c r="G7" s="41"/>
      <c r="H7" s="41">
        <v>15</v>
      </c>
      <c r="I7" s="41"/>
      <c r="J7" s="41"/>
      <c r="K7" s="41">
        <v>15</v>
      </c>
      <c r="L7" s="41"/>
      <c r="M7" s="41"/>
    </row>
    <row r="8" spans="1:13" x14ac:dyDescent="0.25">
      <c r="A8" s="40" t="s">
        <v>31</v>
      </c>
      <c r="B8" s="41">
        <v>10</v>
      </c>
      <c r="C8" s="41"/>
      <c r="D8" s="41"/>
      <c r="E8" s="41">
        <v>10</v>
      </c>
      <c r="F8" s="41"/>
      <c r="G8" s="41"/>
      <c r="H8" s="41">
        <v>10</v>
      </c>
      <c r="I8" s="41"/>
      <c r="J8" s="41"/>
      <c r="K8" s="41">
        <v>10</v>
      </c>
      <c r="L8" s="41"/>
      <c r="M8" s="41"/>
    </row>
    <row r="9" spans="1:13" x14ac:dyDescent="0.25">
      <c r="A9" s="40" t="s">
        <v>32</v>
      </c>
      <c r="B9" s="41">
        <v>10</v>
      </c>
      <c r="C9" s="41"/>
      <c r="D9" s="41"/>
      <c r="E9" s="41">
        <v>10</v>
      </c>
      <c r="F9" s="41"/>
      <c r="G9" s="41"/>
      <c r="H9" s="41">
        <v>10</v>
      </c>
      <c r="I9" s="41"/>
      <c r="J9" s="41"/>
      <c r="K9" s="41">
        <v>10</v>
      </c>
      <c r="L9" s="41"/>
      <c r="M9" s="41"/>
    </row>
    <row r="10" spans="1:13" x14ac:dyDescent="0.25">
      <c r="A10" s="40" t="s">
        <v>33</v>
      </c>
      <c r="B10" s="41">
        <v>10</v>
      </c>
      <c r="C10" s="41"/>
      <c r="D10" s="41"/>
      <c r="E10" s="41">
        <v>10</v>
      </c>
      <c r="F10" s="41"/>
      <c r="G10" s="41"/>
      <c r="H10" s="41">
        <v>10</v>
      </c>
      <c r="I10" s="41"/>
      <c r="J10" s="41"/>
      <c r="K10" s="41">
        <v>10</v>
      </c>
      <c r="L10" s="41"/>
      <c r="M10" s="41"/>
    </row>
    <row r="11" spans="1:13" x14ac:dyDescent="0.25">
      <c r="A11" s="38" t="s">
        <v>34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3" x14ac:dyDescent="0.25">
      <c r="A12" s="40" t="s">
        <v>64</v>
      </c>
      <c r="B12" s="41">
        <v>300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</row>
    <row r="13" spans="1:13" x14ac:dyDescent="0.25">
      <c r="A13" s="40" t="s">
        <v>63</v>
      </c>
      <c r="B13" s="41">
        <v>700</v>
      </c>
      <c r="C13" s="41"/>
      <c r="D13" s="41"/>
      <c r="E13" s="41"/>
      <c r="F13" s="41">
        <v>700</v>
      </c>
      <c r="G13" s="41"/>
      <c r="H13" s="41"/>
      <c r="I13" s="41"/>
      <c r="J13" s="41">
        <v>700</v>
      </c>
      <c r="K13" s="41"/>
      <c r="L13" s="41"/>
      <c r="M13" s="41"/>
    </row>
    <row r="14" spans="1:13" x14ac:dyDescent="0.25">
      <c r="A14" s="40" t="s">
        <v>48</v>
      </c>
      <c r="B14" s="41">
        <v>200</v>
      </c>
      <c r="C14" s="41"/>
      <c r="D14" s="41"/>
      <c r="E14" s="41"/>
      <c r="F14" s="41">
        <v>200</v>
      </c>
      <c r="G14" s="41"/>
      <c r="H14" s="41"/>
      <c r="I14" s="41"/>
      <c r="J14" s="41">
        <v>200</v>
      </c>
      <c r="K14" s="41"/>
      <c r="L14" s="41"/>
      <c r="M14" s="41"/>
    </row>
    <row r="15" spans="1:13" x14ac:dyDescent="0.25">
      <c r="A15" s="40" t="s">
        <v>65</v>
      </c>
      <c r="B15" s="41">
        <v>1000</v>
      </c>
      <c r="C15" s="41"/>
      <c r="D15" s="41"/>
      <c r="E15" s="41"/>
      <c r="F15" s="41">
        <v>1000</v>
      </c>
      <c r="G15" s="41"/>
      <c r="H15" s="41"/>
      <c r="I15" s="41"/>
      <c r="J15" s="41">
        <v>1000</v>
      </c>
      <c r="K15" s="41"/>
      <c r="L15" s="41"/>
      <c r="M15" s="41"/>
    </row>
    <row r="16" spans="1:13" x14ac:dyDescent="0.25">
      <c r="A16" s="42" t="s">
        <v>35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x14ac:dyDescent="0.25">
      <c r="A17" s="40" t="s">
        <v>36</v>
      </c>
      <c r="B17" s="41">
        <v>30</v>
      </c>
      <c r="C17" s="41">
        <v>30</v>
      </c>
      <c r="D17" s="41">
        <v>30</v>
      </c>
      <c r="E17" s="41">
        <v>30</v>
      </c>
      <c r="F17" s="41">
        <v>30</v>
      </c>
      <c r="G17" s="41">
        <v>30</v>
      </c>
      <c r="H17" s="41">
        <v>30</v>
      </c>
      <c r="I17" s="41">
        <v>30</v>
      </c>
      <c r="J17" s="41">
        <v>30</v>
      </c>
      <c r="K17" s="41">
        <v>30</v>
      </c>
      <c r="L17" s="41">
        <v>30</v>
      </c>
      <c r="M17" s="41">
        <v>30</v>
      </c>
    </row>
    <row r="18" spans="1:13" x14ac:dyDescent="0.25">
      <c r="A18" s="40" t="s">
        <v>37</v>
      </c>
      <c r="B18" s="41">
        <v>30</v>
      </c>
      <c r="C18" s="41">
        <v>30</v>
      </c>
      <c r="D18" s="41">
        <v>30</v>
      </c>
      <c r="E18" s="41">
        <v>30</v>
      </c>
      <c r="F18" s="41">
        <v>30</v>
      </c>
      <c r="G18" s="41">
        <v>30</v>
      </c>
      <c r="H18" s="41">
        <v>30</v>
      </c>
      <c r="I18" s="41">
        <v>30</v>
      </c>
      <c r="J18" s="41">
        <v>30</v>
      </c>
      <c r="K18" s="41">
        <v>30</v>
      </c>
      <c r="L18" s="41">
        <v>30</v>
      </c>
      <c r="M18" s="41">
        <v>30</v>
      </c>
    </row>
    <row r="19" spans="1:13" x14ac:dyDescent="0.25">
      <c r="A19" s="40" t="s">
        <v>38</v>
      </c>
      <c r="B19" s="41">
        <v>45</v>
      </c>
      <c r="C19" s="41">
        <v>45</v>
      </c>
      <c r="D19" s="41">
        <v>45</v>
      </c>
      <c r="E19" s="41">
        <v>45</v>
      </c>
      <c r="F19" s="41">
        <v>45</v>
      </c>
      <c r="G19" s="41">
        <v>45</v>
      </c>
      <c r="H19" s="41">
        <v>45</v>
      </c>
      <c r="I19" s="41">
        <v>45</v>
      </c>
      <c r="J19" s="41">
        <v>45</v>
      </c>
      <c r="K19" s="41">
        <v>45</v>
      </c>
      <c r="L19" s="41">
        <v>45</v>
      </c>
      <c r="M19" s="41">
        <v>45</v>
      </c>
    </row>
    <row r="20" spans="1:13" x14ac:dyDescent="0.25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</row>
    <row r="21" spans="1:13" ht="15.75" thickBot="1" x14ac:dyDescent="0.3">
      <c r="A21" s="43" t="s">
        <v>39</v>
      </c>
      <c r="B21" s="19">
        <f t="shared" ref="B21:J21" si="0">SUM(B3:B19)</f>
        <v>2440</v>
      </c>
      <c r="C21" s="19">
        <f t="shared" si="0"/>
        <v>165</v>
      </c>
      <c r="D21" s="19">
        <f t="shared" si="0"/>
        <v>165</v>
      </c>
      <c r="E21" s="19">
        <f t="shared" si="0"/>
        <v>240</v>
      </c>
      <c r="F21" s="19">
        <f t="shared" si="0"/>
        <v>2065</v>
      </c>
      <c r="G21" s="19">
        <f t="shared" si="0"/>
        <v>165</v>
      </c>
      <c r="H21" s="19">
        <f t="shared" si="0"/>
        <v>240</v>
      </c>
      <c r="I21" s="19">
        <f t="shared" si="0"/>
        <v>165</v>
      </c>
      <c r="J21" s="19">
        <f t="shared" si="0"/>
        <v>2065</v>
      </c>
      <c r="K21" s="19">
        <f>SUM(K3:K19)</f>
        <v>240</v>
      </c>
      <c r="L21" s="19">
        <f>SUM(L3:L19)</f>
        <v>165</v>
      </c>
      <c r="M21" s="19">
        <f>SUM(M3:M19)</f>
        <v>165</v>
      </c>
    </row>
    <row r="22" spans="1:13" ht="15.75" thickTop="1" x14ac:dyDescent="0.25"/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zoomScale="110" zoomScaleNormal="110" workbookViewId="0">
      <selection activeCell="E6" sqref="E6"/>
    </sheetView>
  </sheetViews>
  <sheetFormatPr baseColWidth="10" defaultColWidth="11.42578125" defaultRowHeight="15" x14ac:dyDescent="0.25"/>
  <cols>
    <col min="1" max="1" width="17.5703125" customWidth="1"/>
  </cols>
  <sheetData>
    <row r="1" spans="1:13" x14ac:dyDescent="0.25"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60</v>
      </c>
      <c r="L1" s="10" t="s">
        <v>61</v>
      </c>
      <c r="M1" s="10" t="s">
        <v>62</v>
      </c>
    </row>
    <row r="2" spans="1:13" x14ac:dyDescent="0.25">
      <c r="A2" s="38" t="s">
        <v>40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x14ac:dyDescent="0.25">
      <c r="A3" s="40" t="s">
        <v>41</v>
      </c>
      <c r="B3" s="45">
        <v>30</v>
      </c>
      <c r="C3" s="45">
        <v>30</v>
      </c>
      <c r="D3" s="45">
        <v>30</v>
      </c>
      <c r="E3" s="45">
        <v>30</v>
      </c>
      <c r="F3" s="45">
        <v>30</v>
      </c>
      <c r="G3" s="45">
        <v>30</v>
      </c>
      <c r="H3" s="45">
        <v>30</v>
      </c>
      <c r="I3" s="45">
        <v>30</v>
      </c>
      <c r="J3" s="45">
        <v>30</v>
      </c>
      <c r="K3" s="45">
        <v>30</v>
      </c>
      <c r="L3" s="45">
        <v>30</v>
      </c>
      <c r="M3" s="45">
        <v>30</v>
      </c>
    </row>
    <row r="4" spans="1:13" x14ac:dyDescent="0.25">
      <c r="A4" s="38" t="s">
        <v>42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x14ac:dyDescent="0.25">
      <c r="A5" s="40" t="s">
        <v>43</v>
      </c>
      <c r="B5" s="45">
        <v>30</v>
      </c>
      <c r="C5" s="45">
        <v>30</v>
      </c>
      <c r="D5" s="45">
        <v>30</v>
      </c>
      <c r="E5" s="45">
        <v>30</v>
      </c>
      <c r="F5" s="45">
        <v>30</v>
      </c>
      <c r="G5" s="45">
        <v>30</v>
      </c>
      <c r="H5" s="45">
        <v>30</v>
      </c>
      <c r="I5" s="45">
        <v>30</v>
      </c>
      <c r="J5" s="45">
        <v>30</v>
      </c>
      <c r="K5" s="45">
        <v>30</v>
      </c>
      <c r="L5" s="45">
        <v>30</v>
      </c>
      <c r="M5" s="45">
        <v>30</v>
      </c>
    </row>
    <row r="6" spans="1:13" x14ac:dyDescent="0.25">
      <c r="A6" s="40" t="s">
        <v>44</v>
      </c>
      <c r="B6" s="45">
        <v>30</v>
      </c>
      <c r="C6" s="45">
        <v>30</v>
      </c>
      <c r="D6" s="45">
        <v>30</v>
      </c>
      <c r="E6" s="45">
        <v>30</v>
      </c>
      <c r="F6" s="45">
        <v>30</v>
      </c>
      <c r="G6" s="45">
        <v>30</v>
      </c>
      <c r="H6" s="45">
        <v>30</v>
      </c>
      <c r="I6" s="45">
        <v>30</v>
      </c>
      <c r="J6" s="45">
        <v>30</v>
      </c>
      <c r="K6" s="45">
        <v>30</v>
      </c>
      <c r="L6" s="45">
        <v>30</v>
      </c>
      <c r="M6" s="45">
        <v>30</v>
      </c>
    </row>
    <row r="7" spans="1:13" x14ac:dyDescent="0.25">
      <c r="A7" s="40" t="s">
        <v>45</v>
      </c>
      <c r="B7" s="45">
        <v>20</v>
      </c>
      <c r="C7" s="45">
        <v>20</v>
      </c>
      <c r="D7" s="45">
        <v>20</v>
      </c>
      <c r="E7" s="45">
        <v>20</v>
      </c>
      <c r="F7" s="45">
        <v>20</v>
      </c>
      <c r="G7" s="45">
        <v>20</v>
      </c>
      <c r="H7" s="45">
        <v>20</v>
      </c>
      <c r="I7" s="45">
        <v>20</v>
      </c>
      <c r="J7" s="45">
        <v>20</v>
      </c>
      <c r="K7" s="45">
        <v>20</v>
      </c>
      <c r="L7" s="45">
        <v>20</v>
      </c>
      <c r="M7" s="45">
        <v>20</v>
      </c>
    </row>
    <row r="8" spans="1:13" x14ac:dyDescent="0.25">
      <c r="A8" s="38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</row>
    <row r="9" spans="1:13" x14ac:dyDescent="0.25">
      <c r="A9" s="40" t="s">
        <v>47</v>
      </c>
      <c r="B9" s="45">
        <v>25</v>
      </c>
      <c r="C9" s="45">
        <v>25</v>
      </c>
      <c r="D9" s="45">
        <v>25</v>
      </c>
      <c r="E9" s="45">
        <v>25</v>
      </c>
      <c r="F9" s="45">
        <v>25</v>
      </c>
      <c r="G9" s="45">
        <v>25</v>
      </c>
      <c r="H9" s="45">
        <v>25</v>
      </c>
      <c r="I9" s="45">
        <v>25</v>
      </c>
      <c r="J9" s="45">
        <v>25</v>
      </c>
      <c r="K9" s="45">
        <v>25</v>
      </c>
      <c r="L9" s="45">
        <v>25</v>
      </c>
      <c r="M9" s="45">
        <v>25</v>
      </c>
    </row>
    <row r="10" spans="1:13" ht="15.75" thickBot="1" x14ac:dyDescent="0.3">
      <c r="A10" s="47" t="s">
        <v>39</v>
      </c>
      <c r="B10" s="48">
        <f>SUM(B3:B9)</f>
        <v>135</v>
      </c>
      <c r="C10" s="48">
        <f>SUM(C3:C9)</f>
        <v>135</v>
      </c>
      <c r="D10" s="48">
        <f>SUM(D3:D9)</f>
        <v>135</v>
      </c>
      <c r="E10" s="48">
        <f>SUM(E3:E9)</f>
        <v>135</v>
      </c>
      <c r="F10" s="48">
        <f>SUM(F3:F9)</f>
        <v>135</v>
      </c>
      <c r="G10" s="48">
        <f>SUM(G3:G9)</f>
        <v>135</v>
      </c>
      <c r="H10" s="48">
        <f>SUM(H3:H9)</f>
        <v>135</v>
      </c>
      <c r="I10" s="48">
        <f>SUM(I3:I9)</f>
        <v>135</v>
      </c>
      <c r="J10" s="48">
        <f>SUM(J3:J9)</f>
        <v>135</v>
      </c>
      <c r="K10" s="48">
        <f>SUM(K3:K9)</f>
        <v>135</v>
      </c>
      <c r="L10" s="48">
        <f>SUM(L3:L9)</f>
        <v>135</v>
      </c>
      <c r="M10" s="48">
        <f>SUM(M3:M9)</f>
        <v>135</v>
      </c>
    </row>
    <row r="11" spans="1:13" ht="15.75" thickTop="1" x14ac:dyDescent="0.25"/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topLeftCell="C1" zoomScale="130" zoomScaleNormal="130" workbookViewId="0">
      <selection activeCell="K12" sqref="K12"/>
    </sheetView>
  </sheetViews>
  <sheetFormatPr baseColWidth="10" defaultColWidth="11.5703125" defaultRowHeight="15" x14ac:dyDescent="0.25"/>
  <cols>
    <col min="1" max="1" width="20.85546875" customWidth="1"/>
    <col min="7" max="7" width="12" bestFit="1" customWidth="1"/>
    <col min="8" max="8" width="8.140625" bestFit="1" customWidth="1"/>
    <col min="9" max="9" width="20.5703125" bestFit="1" customWidth="1"/>
    <col min="10" max="10" width="17.42578125" bestFit="1" customWidth="1"/>
  </cols>
  <sheetData>
    <row r="1" spans="1:9" ht="15.75" thickBot="1" x14ac:dyDescent="0.3"/>
    <row r="2" spans="1:9" ht="15.75" thickBot="1" x14ac:dyDescent="0.3">
      <c r="D2" s="67" t="s">
        <v>66</v>
      </c>
      <c r="E2" s="67"/>
      <c r="F2" s="67"/>
      <c r="G2" s="67"/>
      <c r="H2" s="67"/>
      <c r="I2" s="67"/>
    </row>
    <row r="3" spans="1:9" ht="15.75" thickBot="1" x14ac:dyDescent="0.3">
      <c r="D3" s="67"/>
      <c r="E3" s="67"/>
      <c r="F3" s="67"/>
      <c r="G3" s="67"/>
      <c r="H3" s="67"/>
      <c r="I3" s="67"/>
    </row>
    <row r="4" spans="1:9" ht="15.75" thickBot="1" x14ac:dyDescent="0.3">
      <c r="D4" s="67"/>
      <c r="E4" s="67"/>
      <c r="F4" s="67"/>
      <c r="G4" s="67"/>
      <c r="H4" s="67"/>
      <c r="I4" s="67"/>
    </row>
    <row r="5" spans="1:9" ht="15.75" thickBot="1" x14ac:dyDescent="0.3">
      <c r="A5" t="s">
        <v>49</v>
      </c>
      <c r="B5" s="49">
        <v>1000</v>
      </c>
      <c r="C5" s="49"/>
    </row>
    <row r="6" spans="1:9" ht="15.75" thickBot="1" x14ac:dyDescent="0.3">
      <c r="I6" s="66" t="s">
        <v>50</v>
      </c>
    </row>
    <row r="7" spans="1:9" ht="15.75" thickBot="1" x14ac:dyDescent="0.3">
      <c r="E7" s="61"/>
      <c r="F7" s="62" t="s">
        <v>51</v>
      </c>
      <c r="G7" s="63">
        <v>55555.55</v>
      </c>
      <c r="H7" s="65"/>
      <c r="I7" s="64">
        <f>G7-G8</f>
        <v>49999.995000000003</v>
      </c>
    </row>
    <row r="8" spans="1:9" ht="15.75" thickBot="1" x14ac:dyDescent="0.3">
      <c r="E8" s="61"/>
      <c r="F8" s="62" t="s">
        <v>52</v>
      </c>
      <c r="G8" s="63">
        <f>G7*0.1</f>
        <v>5555.5550000000003</v>
      </c>
      <c r="H8" s="56" t="s">
        <v>53</v>
      </c>
    </row>
    <row r="9" spans="1:9" ht="15.75" thickBot="1" x14ac:dyDescent="0.3">
      <c r="A9" t="s">
        <v>52</v>
      </c>
      <c r="B9" s="51">
        <v>0.1</v>
      </c>
      <c r="C9" s="51"/>
      <c r="D9" s="61" t="s">
        <v>54</v>
      </c>
      <c r="E9" s="61"/>
      <c r="F9" s="62" t="s">
        <v>55</v>
      </c>
      <c r="G9" s="63">
        <f>G7*0.12</f>
        <v>6666.6660000000002</v>
      </c>
      <c r="H9" s="56" t="s">
        <v>53</v>
      </c>
    </row>
    <row r="10" spans="1:9" ht="15.75" thickBot="1" x14ac:dyDescent="0.3">
      <c r="A10" t="s">
        <v>56</v>
      </c>
      <c r="B10" s="51">
        <v>0.12</v>
      </c>
      <c r="C10" s="51"/>
      <c r="D10" s="61" t="s">
        <v>57</v>
      </c>
      <c r="E10" s="61"/>
      <c r="F10" s="62" t="s">
        <v>58</v>
      </c>
      <c r="G10" s="64">
        <f>G9+G7</f>
        <v>62222.216</v>
      </c>
      <c r="H10" s="61"/>
    </row>
    <row r="13" spans="1:9" x14ac:dyDescent="0.25">
      <c r="F13" s="37"/>
      <c r="G13" s="50"/>
      <c r="I13" s="49"/>
    </row>
    <row r="14" spans="1:9" x14ac:dyDescent="0.25">
      <c r="F14" s="37"/>
      <c r="G14" s="50"/>
      <c r="H14" s="2"/>
    </row>
    <row r="15" spans="1:9" x14ac:dyDescent="0.25">
      <c r="F15" s="37"/>
      <c r="G15" s="50"/>
      <c r="H15" s="2"/>
      <c r="I15" s="49"/>
    </row>
    <row r="16" spans="1:9" x14ac:dyDescent="0.25">
      <c r="F16" s="37"/>
      <c r="G16" s="49"/>
    </row>
    <row r="18" spans="9:9" x14ac:dyDescent="0.25">
      <c r="I18" s="52"/>
    </row>
  </sheetData>
  <mergeCells count="1">
    <mergeCell ref="D2:I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Gastos mensuales</vt:lpstr>
      <vt:lpstr>Gastos personales</vt:lpstr>
      <vt:lpstr>Sheet4</vt:lpstr>
    </vt:vector>
  </TitlesOfParts>
  <Company>XNET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Guillermo Pizarro</dc:creator>
  <dc:description/>
  <cp:lastModifiedBy>Katherine</cp:lastModifiedBy>
  <cp:revision>3</cp:revision>
  <dcterms:created xsi:type="dcterms:W3CDTF">2009-01-08T19:31:02Z</dcterms:created>
  <dcterms:modified xsi:type="dcterms:W3CDTF">2020-12-16T02:44:02Z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XNET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